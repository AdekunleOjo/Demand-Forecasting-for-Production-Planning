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BDF26B6-55C7-4250-859C-CD64D33EEC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H5" i="1"/>
  <c r="H6" i="1"/>
  <c r="H7" i="1"/>
  <c r="H8" i="1"/>
  <c r="H9" i="1"/>
  <c r="H10" i="1"/>
  <c r="H11" i="1"/>
  <c r="H12" i="1"/>
  <c r="H13" i="1"/>
  <c r="H14" i="1"/>
  <c r="H15" i="1"/>
  <c r="H4" i="1"/>
  <c r="G5" i="1"/>
  <c r="G6" i="1"/>
  <c r="G7" i="1"/>
  <c r="G8" i="1"/>
  <c r="G9" i="1"/>
  <c r="G10" i="1"/>
  <c r="G11" i="1"/>
  <c r="G12" i="1"/>
  <c r="G13" i="1"/>
  <c r="G14" i="1"/>
  <c r="G15" i="1"/>
  <c r="G4" i="1"/>
  <c r="F5" i="1"/>
  <c r="F6" i="1"/>
  <c r="F7" i="1"/>
  <c r="F8" i="1"/>
  <c r="F9" i="1"/>
  <c r="F10" i="1"/>
  <c r="F11" i="1"/>
  <c r="F12" i="1"/>
  <c r="F13" i="1"/>
  <c r="F14" i="1"/>
  <c r="F15" i="1"/>
  <c r="F4" i="1"/>
</calcChain>
</file>

<file path=xl/sharedStrings.xml><?xml version="1.0" encoding="utf-8"?>
<sst xmlns="http://schemas.openxmlformats.org/spreadsheetml/2006/main" count="31" uniqueCount="31">
  <si>
    <t>Actual Demand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</si>
  <si>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</si>
  <si>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</si>
  <si>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</si>
  <si>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</si>
  <si>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</si>
  <si>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</si>
  <si>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</si>
  <si>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</si>
  <si>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</si>
  <si>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</si>
  <si>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</si>
  <si>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</si>
  <si>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</si>
  <si>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Seasonal Demand Forecasting</t>
  </si>
  <si>
    <t>the idea behind this kind of forecasting is that during certain months of the year you are gonna sell more than other months</t>
  </si>
  <si>
    <t>the values there are actual sales for each year and month</t>
  </si>
  <si>
    <t>Avg demand by Month</t>
  </si>
  <si>
    <t>Avg Monthly Demand</t>
  </si>
  <si>
    <t>a) the first thing we gonna do is we gonna find the average demand across those three years for a specific month</t>
  </si>
  <si>
    <t>b) the next thing we need to know is the average monthly demand across all months</t>
  </si>
  <si>
    <t>formula is Avg demand by Month/Avg Monthly Demand</t>
  </si>
  <si>
    <t>Seasonal Index</t>
  </si>
  <si>
    <t>for the seasonal index, basically '1' will be like normal, that will be average, if it above 1, it gonna have a higher demand by average and if it is below 1, it is gonna have a lower demand</t>
  </si>
  <si>
    <t>now let just assume that it is gonna be increasing, let jus say our demand for 2026 is gonna be 1350</t>
  </si>
  <si>
    <t>in 2023, our total demand was 930, for 2024 it was 1053 and for 2025 it was 1155</t>
  </si>
  <si>
    <t>1. we ae gonna figure out how many units we gonna sell each month 2026 based on our previous data</t>
  </si>
  <si>
    <t>using (a) and (b) we are gonna determine seasonal index, which is gonna help us forecast our demand for 2026 based on any given month</t>
  </si>
  <si>
    <t>to get the montly seasonal forecast for 2026, we are gonna divide the demand of 2026 by 12 and multiply  by the seasonal index</t>
  </si>
  <si>
    <t>Monthly Seasonal Forecast for 2026</t>
  </si>
  <si>
    <t>Total Annual Demand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</si>
</sst>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40404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404040"/>
      </right>
      <top style="thin">
        <color rgb="FF808080"/>
      </top>
      <bottom style="thin">
        <color rgb="FF808080"/>
      </bottom>
      <diagonal/>
    </border>
    <border>
      <left style="medium">
        <color rgb="FF404040"/>
      </left>
      <right style="thin">
        <color rgb="FF808080"/>
      </right>
      <top style="medium">
        <color rgb="FF404040"/>
      </top>
      <bottom style="thin">
        <color rgb="FF808080"/>
      </bottom>
      <diagonal/>
    </border>
    <border>
      <left style="medium">
        <color rgb="FF404040"/>
      </left>
      <right style="thin">
        <color rgb="FF808080"/>
      </right>
      <top style="thin">
        <color rgb="FF808080"/>
      </top>
      <bottom style="medium">
        <color rgb="FF404040"/>
      </bottom>
      <diagonal/>
    </border>
    <border>
      <left style="thin">
        <color rgb="FF808080"/>
      </left>
      <right style="thin">
        <color rgb="FF808080"/>
      </right>
      <top style="medium">
        <color rgb="FF40404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404040"/>
      </bottom>
      <diagonal/>
    </border>
    <border>
      <left style="thin">
        <color rgb="FF808080"/>
      </left>
      <right style="medium">
        <color rgb="FF404040"/>
      </right>
      <top style="medium">
        <color rgb="FF404040"/>
      </top>
      <bottom style="thin">
        <color rgb="FF808080"/>
      </bottom>
      <diagonal/>
    </border>
    <border>
      <left style="thin">
        <color rgb="FF808080"/>
      </left>
      <right style="medium">
        <color rgb="FF404040"/>
      </right>
      <top style="thin">
        <color rgb="FF808080"/>
      </top>
      <bottom style="medium">
        <color rgb="FF40404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tabSelected="1" zoomScale="90" zoomScaleNormal="90" workbookViewId="0">
      <pane xSplit="1" ySplit="3" topLeftCell="B4" activePane="bottomRight" state="frozen"/>
      <selection pane="topRight"/>
      <selection pane="bottomLeft"/>
      <selection pane="bottomRight" activeCell="F15" sqref="F15"/>
    </sheetView>
  </sheetViews>
  <sheetFormatPr defaultRowHeight="15" x14ac:dyDescent="0.25"/>
  <cols>
    <col min="1" max="1" width="9" customWidth="1"/>
    <col min="2" max="2" width="12" customWidth="1"/>
    <col min="3" max="5" width="11" customWidth="1"/>
    <col min="6" max="6" width="21.140625" bestFit="1" customWidth="1"/>
    <col min="7" max="7" width="20.28515625" bestFit="1" customWidth="1"/>
    <col min="8" max="8" width="25.28515625" bestFit="1" customWidth="1"/>
    <col min="9" max="9" width="33.42578125" bestFit="1" customWidth="1"/>
  </cols>
  <sheetData>
    <row r="2" spans="2:9" ht="20.100000000000001" customHeight="1" x14ac:dyDescent="0.25">
      <c r="B2" s="10" t="s">
        <v>0</v>
      </c>
      <c r="C2" s="11"/>
      <c r="D2" s="11"/>
      <c r="E2" s="12"/>
    </row>
    <row r="3" spans="2:9" ht="20.100000000000001" customHeight="1" x14ac:dyDescent="0.25">
      <c r="B3" s="1" t="s">
        <v>1</v>
      </c>
      <c r="C3" s="2">
        <v>2023</v>
      </c>
      <c r="D3" s="2">
        <v>2024</v>
      </c>
      <c r="E3" s="3">
        <v>2025</v>
      </c>
      <c r="F3" s="14" t="s">
        <v>17</v>
      </c>
      <c r="G3" s="14" t="s">
        <v>18</v>
      </c>
      <c r="H3" s="14" t="s">
        <v>22</v>
      </c>
      <c r="I3" s="14" t="s">
        <v>29</v>
      </c>
    </row>
    <row r="4" spans="2:9" ht="20.100000000000001" customHeight="1" x14ac:dyDescent="0.25">
      <c r="B4" s="4" t="s">
        <v>2</v>
      </c>
      <c r="C4" s="5">
        <v>61</v>
      </c>
      <c r="D4" s="5">
        <v>103</v>
      </c>
      <c r="E4" s="6">
        <v>131</v>
      </c>
      <c r="F4" s="13">
        <f>AVERAGE(C4:E4)</f>
        <v>98.333333333333329</v>
      </c>
      <c r="G4" s="13">
        <f>AVERAGE($C$4:$E$15)</f>
        <v>87.166666666666671</v>
      </c>
      <c r="H4" s="13">
        <f>F4/G4</f>
        <v>1.1281070745697896</v>
      </c>
      <c r="I4" s="13">
        <f>($I$17/12)*H4</f>
        <v>126.91204588910134</v>
      </c>
    </row>
    <row r="5" spans="2:9" ht="20.100000000000001" customHeight="1" x14ac:dyDescent="0.25">
      <c r="B5" s="4" t="s">
        <v>3</v>
      </c>
      <c r="C5" s="5">
        <v>115</v>
      </c>
      <c r="D5" s="5">
        <v>97</v>
      </c>
      <c r="E5" s="6">
        <v>103</v>
      </c>
      <c r="F5" s="13">
        <f t="shared" ref="F5:F15" si="0">AVERAGE(C5:E5)</f>
        <v>105</v>
      </c>
      <c r="G5" s="13">
        <f t="shared" ref="G5:G15" si="1">AVERAGE($C$4:$E$15)</f>
        <v>87.166666666666671</v>
      </c>
      <c r="H5" s="13">
        <f t="shared" ref="H5:H15" si="2">F5/G5</f>
        <v>1.2045889101338432</v>
      </c>
      <c r="I5" s="13">
        <f t="shared" ref="I5:I15" si="3">($I$17/12)*H5</f>
        <v>135.51625239005736</v>
      </c>
    </row>
    <row r="6" spans="2:9" ht="20.100000000000001" customHeight="1" x14ac:dyDescent="0.25">
      <c r="B6" s="4" t="s">
        <v>4</v>
      </c>
      <c r="C6" s="5">
        <v>30</v>
      </c>
      <c r="D6" s="5">
        <v>47</v>
      </c>
      <c r="E6" s="6">
        <v>49</v>
      </c>
      <c r="F6" s="13">
        <f t="shared" si="0"/>
        <v>42</v>
      </c>
      <c r="G6" s="13">
        <f t="shared" si="1"/>
        <v>87.166666666666671</v>
      </c>
      <c r="H6" s="13">
        <f t="shared" si="2"/>
        <v>0.48183556405353728</v>
      </c>
      <c r="I6" s="13">
        <f t="shared" si="3"/>
        <v>54.206500956022943</v>
      </c>
    </row>
    <row r="7" spans="2:9" ht="20.100000000000001" customHeight="1" x14ac:dyDescent="0.25">
      <c r="B7" s="4" t="s">
        <v>5</v>
      </c>
      <c r="C7" s="5">
        <v>113</v>
      </c>
      <c r="D7" s="5">
        <v>112</v>
      </c>
      <c r="E7" s="6">
        <v>110</v>
      </c>
      <c r="F7" s="13">
        <f t="shared" si="0"/>
        <v>111.66666666666667</v>
      </c>
      <c r="G7" s="13">
        <f t="shared" si="1"/>
        <v>87.166666666666671</v>
      </c>
      <c r="H7" s="13">
        <f t="shared" si="2"/>
        <v>1.2810707456978967</v>
      </c>
      <c r="I7" s="13">
        <f t="shared" si="3"/>
        <v>144.12045889101339</v>
      </c>
    </row>
    <row r="8" spans="2:9" ht="20.100000000000001" customHeight="1" x14ac:dyDescent="0.25">
      <c r="B8" s="4" t="s">
        <v>6</v>
      </c>
      <c r="C8" s="5">
        <v>35</v>
      </c>
      <c r="D8" s="5">
        <v>52</v>
      </c>
      <c r="E8" s="6">
        <v>45</v>
      </c>
      <c r="F8" s="13">
        <f t="shared" si="0"/>
        <v>44</v>
      </c>
      <c r="G8" s="13">
        <f t="shared" si="1"/>
        <v>87.166666666666671</v>
      </c>
      <c r="H8" s="13">
        <f t="shared" si="2"/>
        <v>0.5047801147227533</v>
      </c>
      <c r="I8" s="13">
        <f t="shared" si="3"/>
        <v>56.787762906309744</v>
      </c>
    </row>
    <row r="9" spans="2:9" ht="20.100000000000001" customHeight="1" x14ac:dyDescent="0.25">
      <c r="B9" s="4" t="s">
        <v>7</v>
      </c>
      <c r="C9" s="5">
        <v>56</v>
      </c>
      <c r="D9" s="5">
        <v>71</v>
      </c>
      <c r="E9" s="6">
        <v>60</v>
      </c>
      <c r="F9" s="13">
        <f t="shared" si="0"/>
        <v>62.333333333333336</v>
      </c>
      <c r="G9" s="13">
        <f t="shared" si="1"/>
        <v>87.166666666666671</v>
      </c>
      <c r="H9" s="13">
        <f t="shared" si="2"/>
        <v>0.71510516252390055</v>
      </c>
      <c r="I9" s="13">
        <f t="shared" si="3"/>
        <v>80.449330783938805</v>
      </c>
    </row>
    <row r="10" spans="2:9" ht="20.100000000000001" customHeight="1" x14ac:dyDescent="0.25">
      <c r="B10" s="4" t="s">
        <v>8</v>
      </c>
      <c r="C10" s="5">
        <v>125</v>
      </c>
      <c r="D10" s="5">
        <v>117</v>
      </c>
      <c r="E10" s="6">
        <v>141</v>
      </c>
      <c r="F10" s="13">
        <f t="shared" si="0"/>
        <v>127.66666666666667</v>
      </c>
      <c r="G10" s="13">
        <f t="shared" si="1"/>
        <v>87.166666666666671</v>
      </c>
      <c r="H10" s="13">
        <f t="shared" si="2"/>
        <v>1.4646271510516251</v>
      </c>
      <c r="I10" s="13">
        <f t="shared" si="3"/>
        <v>164.77055449330783</v>
      </c>
    </row>
    <row r="11" spans="2:9" ht="20.100000000000001" customHeight="1" x14ac:dyDescent="0.25">
      <c r="B11" s="4" t="s">
        <v>9</v>
      </c>
      <c r="C11" s="5">
        <v>70</v>
      </c>
      <c r="D11" s="5">
        <v>120</v>
      </c>
      <c r="E11" s="6">
        <v>99</v>
      </c>
      <c r="F11" s="13">
        <f t="shared" si="0"/>
        <v>96.333333333333329</v>
      </c>
      <c r="G11" s="13">
        <f t="shared" si="1"/>
        <v>87.166666666666671</v>
      </c>
      <c r="H11" s="13">
        <f t="shared" si="2"/>
        <v>1.1051625239005736</v>
      </c>
      <c r="I11" s="13">
        <f t="shared" si="3"/>
        <v>124.33078393881452</v>
      </c>
    </row>
    <row r="12" spans="2:9" ht="20.100000000000001" customHeight="1" x14ac:dyDescent="0.25">
      <c r="B12" s="4" t="s">
        <v>10</v>
      </c>
      <c r="C12" s="5">
        <v>65</v>
      </c>
      <c r="D12" s="5">
        <v>54</v>
      </c>
      <c r="E12" s="6">
        <v>112</v>
      </c>
      <c r="F12" s="13">
        <f t="shared" si="0"/>
        <v>77</v>
      </c>
      <c r="G12" s="13">
        <f t="shared" si="1"/>
        <v>87.166666666666671</v>
      </c>
      <c r="H12" s="13">
        <f t="shared" si="2"/>
        <v>0.88336520076481828</v>
      </c>
      <c r="I12" s="13">
        <f t="shared" si="3"/>
        <v>99.378585086042051</v>
      </c>
    </row>
    <row r="13" spans="2:9" ht="20.100000000000001" customHeight="1" x14ac:dyDescent="0.25">
      <c r="B13" s="4" t="s">
        <v>11</v>
      </c>
      <c r="C13" s="5">
        <v>55</v>
      </c>
      <c r="D13" s="5">
        <v>50</v>
      </c>
      <c r="E13" s="6">
        <v>67</v>
      </c>
      <c r="F13" s="13">
        <f t="shared" si="0"/>
        <v>57.333333333333336</v>
      </c>
      <c r="G13" s="13">
        <f t="shared" si="1"/>
        <v>87.166666666666671</v>
      </c>
      <c r="H13" s="13">
        <f t="shared" si="2"/>
        <v>0.65774378585086046</v>
      </c>
      <c r="I13" s="13">
        <f t="shared" si="3"/>
        <v>73.996175908221801</v>
      </c>
    </row>
    <row r="14" spans="2:9" ht="20.100000000000001" customHeight="1" x14ac:dyDescent="0.25">
      <c r="B14" s="4" t="s">
        <v>12</v>
      </c>
      <c r="C14" s="5">
        <v>71</v>
      </c>
      <c r="D14" s="5">
        <v>92</v>
      </c>
      <c r="E14" s="6">
        <v>94</v>
      </c>
      <c r="F14" s="13">
        <f t="shared" si="0"/>
        <v>85.666666666666671</v>
      </c>
      <c r="G14" s="13">
        <f t="shared" si="1"/>
        <v>87.166666666666671</v>
      </c>
      <c r="H14" s="13">
        <f t="shared" si="2"/>
        <v>0.982791586998088</v>
      </c>
      <c r="I14" s="13">
        <f t="shared" si="3"/>
        <v>110.56405353728491</v>
      </c>
    </row>
    <row r="15" spans="2:9" ht="20.100000000000001" customHeight="1" x14ac:dyDescent="0.25">
      <c r="B15" s="7" t="s">
        <v>13</v>
      </c>
      <c r="C15" s="8">
        <v>134</v>
      </c>
      <c r="D15" s="8">
        <v>138</v>
      </c>
      <c r="E15" s="9">
        <v>144</v>
      </c>
      <c r="F15" s="13">
        <f t="shared" si="0"/>
        <v>138.66666666666666</v>
      </c>
      <c r="G15" s="13">
        <f t="shared" si="1"/>
        <v>87.166666666666671</v>
      </c>
      <c r="H15" s="13">
        <f t="shared" si="2"/>
        <v>1.5908221797323134</v>
      </c>
      <c r="I15" s="13">
        <f t="shared" si="3"/>
        <v>178.96749521988525</v>
      </c>
    </row>
    <row r="16" spans="2:9" x14ac:dyDescent="0.25">
      <c r="G16" s="14"/>
    </row>
    <row r="17" spans="8:9" x14ac:dyDescent="0.25">
      <c r="H17" t="s">
        <v>30</v>
      </c>
      <c r="I17" s="14">
        <v>1350</v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443C-5C84-47C6-A642-B79CDCF46BD3}">
  <dimension ref="C3:D20"/>
  <sheetViews>
    <sheetView showGridLines="0" topLeftCell="A7" workbookViewId="0">
      <selection activeCell="C20" sqref="C20"/>
    </sheetView>
  </sheetViews>
  <sheetFormatPr defaultRowHeight="15" x14ac:dyDescent="0.25"/>
  <sheetData>
    <row r="3" spans="3:4" x14ac:dyDescent="0.25">
      <c r="D3" t="s">
        <v>14</v>
      </c>
    </row>
    <row r="4" spans="3:4" x14ac:dyDescent="0.25">
      <c r="C4" t="s">
        <v>15</v>
      </c>
    </row>
    <row r="6" spans="3:4" x14ac:dyDescent="0.25">
      <c r="C6" t="s">
        <v>16</v>
      </c>
    </row>
    <row r="8" spans="3:4" x14ac:dyDescent="0.25">
      <c r="C8" t="s">
        <v>26</v>
      </c>
    </row>
    <row r="10" spans="3:4" x14ac:dyDescent="0.25">
      <c r="C10" t="s">
        <v>19</v>
      </c>
    </row>
    <row r="12" spans="3:4" x14ac:dyDescent="0.25">
      <c r="C12" t="s">
        <v>20</v>
      </c>
    </row>
    <row r="14" spans="3:4" x14ac:dyDescent="0.25">
      <c r="C14" t="s">
        <v>27</v>
      </c>
    </row>
    <row r="15" spans="3:4" x14ac:dyDescent="0.25">
      <c r="C15" t="s">
        <v>21</v>
      </c>
    </row>
    <row r="16" spans="3:4" x14ac:dyDescent="0.25">
      <c r="C16" t="s">
        <v>23</v>
      </c>
    </row>
    <row r="17" spans="3:3" x14ac:dyDescent="0.25">
      <c r="C17" t="s">
        <v>25</v>
      </c>
    </row>
    <row r="18" spans="3:3" x14ac:dyDescent="0.25">
      <c r="C18" t="s">
        <v>24</v>
      </c>
    </row>
    <row r="20" spans="3:3" x14ac:dyDescent="0.25">
      <c r="C2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2026-10-07T18:01:12Z</dcterms:created>
  <dcterms:modified xsi:type="dcterms:W3CDTF">2026-10-07T19:37:06Z</dcterms:modified>
</cp:coreProperties>
</file>